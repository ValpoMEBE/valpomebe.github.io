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" sheetId="1" r:id="rId5"/>
    <sheet state="visible" name="Biomech-BE" sheetId="2" r:id="rId6"/>
    <sheet state="visible" name="Bioelec-BE" sheetId="3" r:id="rId7"/>
    <sheet state="visible" name="Biomed-BE" sheetId="4" r:id="rId8"/>
  </sheets>
  <definedNames/>
  <calcPr/>
</workbook>
</file>

<file path=xl/sharedStrings.xml><?xml version="1.0" encoding="utf-8"?>
<sst xmlns="http://schemas.openxmlformats.org/spreadsheetml/2006/main" count="288" uniqueCount="104">
  <si>
    <t>Fall Semester 1</t>
  </si>
  <si>
    <t>Spring Semester 2</t>
  </si>
  <si>
    <t>VUE 101 - Exploring Values  Credits: 4</t>
  </si>
  <si>
    <t>VUE 102 - Finding your Voice Credits: 4</t>
  </si>
  <si>
    <t>GE 100 - Fundamentals of Engineering Credits: 2</t>
  </si>
  <si>
    <t>GE 109 - Mechanics-Statics Credits: 3</t>
  </si>
  <si>
    <t>GE 100L - Fundamentals of Engineering Lab Credits: 0</t>
  </si>
  <si>
    <t>MATH 132 - Calculus II Credits: 4</t>
  </si>
  <si>
    <t>XS 101 - Wellness and Stress Credits: 1</t>
  </si>
  <si>
    <t>ME 102 - Computer Aided Design Credits: 1</t>
  </si>
  <si>
    <t>MATH 131 - Calculus I Credits: 4</t>
  </si>
  <si>
    <t>ME 125 - Computer Prog/Mech Engineers &amp; Bioengin Credits: 1</t>
  </si>
  <si>
    <t>PHYS 141 - Newtonian Mechanics Credits: 3</t>
  </si>
  <si>
    <t>PHYS 142 - Electricity, Magnetism, &amp; Waves Credits: 3</t>
  </si>
  <si>
    <t>PHYS 141L - Experimental Physics I Credits: 1</t>
  </si>
  <si>
    <t>Total</t>
  </si>
  <si>
    <t>Fall Semester 3</t>
  </si>
  <si>
    <t>Spring Semester 4</t>
  </si>
  <si>
    <t>CHEM 115 - Essentials of Chemistry Credits: 4</t>
  </si>
  <si>
    <t>MATH 260 - Linear Systems and Matrices Credits: 1</t>
  </si>
  <si>
    <t>ECE 281 - Fundamentals of Electrical Engineering Credits: 2.5 (lecture)</t>
  </si>
  <si>
    <t>MATH 270 - Ordinary Differential Equations Credits: 3</t>
  </si>
  <si>
    <t>MATH 253 - Calculus III Credits: 4</t>
  </si>
  <si>
    <t>ME 215 - Mechanics of Materials Credits: 3</t>
  </si>
  <si>
    <t>ME 201 - WIC:Tech Writ-Mech Engrs/Bioe Credits: 1 (WIC)</t>
  </si>
  <si>
    <t>ME 252 - Materials Science Credits: 2.5</t>
  </si>
  <si>
    <t>ME 209 - Mechanics-Dynamics Credits: 3</t>
  </si>
  <si>
    <t>ME 261 - Analog Circuits Laboratory Credits: 0.5</t>
  </si>
  <si>
    <t>ME 251 - Introduction to Manufacturing Credits: 1</t>
  </si>
  <si>
    <t>ME 270 - Thermodynamics I Credits: 3</t>
  </si>
  <si>
    <t>STAT 240 - Statistical Analysis Credits: 3</t>
  </si>
  <si>
    <t>Fall Semester 5</t>
  </si>
  <si>
    <t>Spring Semester 6</t>
  </si>
  <si>
    <t>ME 317 - Sustainable Engineering Credits: 2</t>
  </si>
  <si>
    <t>GE 311 - Financial Decisions in Engineering Credits: 1.5</t>
  </si>
  <si>
    <t>ME 333 - Mechanical Measurements Laboratory Credits: 4</t>
  </si>
  <si>
    <t>GE 312 - Ethical Decisions in Engineering Credits: 1.5</t>
  </si>
  <si>
    <t>ME 333L - Mechanical Measurements Laboratory Credits: 0</t>
  </si>
  <si>
    <t>ME 351 - Manufacturing Processes Credits: 3</t>
  </si>
  <si>
    <t>ME 352 - Materials Science &amp; Mechanics Laboratory Credits: 0.5</t>
  </si>
  <si>
    <t>ME 364 - Vibrations Credits: 2</t>
  </si>
  <si>
    <t>ME 355 - System Modeling and Numerical Methods Credits: 3</t>
  </si>
  <si>
    <t>ME 376 - Heat Transfer Credits: 3</t>
  </si>
  <si>
    <t>Choose one course from List A</t>
  </si>
  <si>
    <t>ME 354 / ME 372 Laboratories: 1</t>
  </si>
  <si>
    <t>Choose one course from List A, List B, or List C</t>
  </si>
  <si>
    <t>Choose one course from List B or List C</t>
  </si>
  <si>
    <t>Fall Semester 7</t>
  </si>
  <si>
    <t>Spring Semester 8</t>
  </si>
  <si>
    <t>GE 497 - Senior Design Project I Credits: 3</t>
  </si>
  <si>
    <t>GE 498 - Senior Design Project II Credits: 3</t>
  </si>
  <si>
    <t>ME 442 - Automatic Control Credits: 3</t>
  </si>
  <si>
    <t>Choose four courses from List B and/or List C</t>
  </si>
  <si>
    <t>Choose one course from List A or List B</t>
  </si>
  <si>
    <t>Choose three courses from List B and/or List C</t>
  </si>
  <si>
    <t>Program Total</t>
  </si>
  <si>
    <t>List A</t>
  </si>
  <si>
    <t xml:space="preserve">       ME 363 - Machine Design I Credits: 3</t>
  </si>
  <si>
    <t xml:space="preserve">       ME 373 - Fluid Mechanics Credits: 3</t>
  </si>
  <si>
    <t>List B</t>
  </si>
  <si>
    <r>
      <rPr/>
      <t xml:space="preserve">     See the </t>
    </r>
    <r>
      <rPr>
        <color rgb="FF1155CC"/>
        <u/>
      </rPr>
      <t>ME Technical Electives</t>
    </r>
    <r>
      <rPr/>
      <t>: 12 total required</t>
    </r>
  </si>
  <si>
    <t>List C</t>
  </si>
  <si>
    <t xml:space="preserve">      World Language or Cultural Diversity Elective Credits: 3 total required</t>
  </si>
  <si>
    <t xml:space="preserve">      Humanities, Social Science, or Theo Elective Credits: 6 total required</t>
  </si>
  <si>
    <r>
      <rPr/>
      <t xml:space="preserve">     </t>
    </r>
    <r>
      <rPr>
        <color rgb="FF1155CC"/>
        <u/>
      </rPr>
      <t xml:space="preserve"> Professional Elective Credits</t>
    </r>
    <r>
      <rPr/>
      <t>: 3 total required</t>
    </r>
  </si>
  <si>
    <t xml:space="preserve">      THEO 100/200 - The Christian Tradition Credits: 3</t>
  </si>
  <si>
    <t>ECE 281 - Fundamentals of Electrical Engineering Credits: 2.5</t>
  </si>
  <si>
    <t>BIO 151 - Anatomy and Phyiology Credits: 4</t>
  </si>
  <si>
    <t>BIO 152 - Anatomy and Physiology II Credits: 4</t>
  </si>
  <si>
    <t>BE 317 - Sustainable Engineering Credits: 2</t>
  </si>
  <si>
    <t>BE 320 - Bioengineering Tech Lab Credits: 1</t>
  </si>
  <si>
    <t>BE 340 - Bioelectricity Credits: 3</t>
  </si>
  <si>
    <t>BE 369 - Biomechanics Credits: 3</t>
  </si>
  <si>
    <t>ME 270 - Thermodynamics Credits: 3</t>
  </si>
  <si>
    <t>Choose one from List B or List C</t>
  </si>
  <si>
    <t>BE 415 - Biomaterials Credits: 3</t>
  </si>
  <si>
    <t>Choose one from List B</t>
  </si>
  <si>
    <t>ME 352 - Materials Science Lab Credits: 0.5</t>
  </si>
  <si>
    <t>Choose three from List B and/or List C</t>
  </si>
  <si>
    <t>ME 373 - Fluid Mechanics Credits: 3</t>
  </si>
  <si>
    <t xml:space="preserve">      No courses here.</t>
  </si>
  <si>
    <r>
      <rPr/>
      <t xml:space="preserve">     See the </t>
    </r>
    <r>
      <rPr>
        <color rgb="FF1155CC"/>
        <u/>
      </rPr>
      <t>BE Technical Electives</t>
    </r>
    <r>
      <rPr/>
      <t>: 7 total required</t>
    </r>
  </si>
  <si>
    <t xml:space="preserve">      THEO 100 - The Christian Tradition Credits: 3</t>
  </si>
  <si>
    <t>Choose one from List C</t>
  </si>
  <si>
    <t>ECE 221 - Digital Logic Design Credits: 3</t>
  </si>
  <si>
    <t>ECE 251 - Engineering Programming I Credits: 3</t>
  </si>
  <si>
    <t>Choose one from List A</t>
  </si>
  <si>
    <t>ECE 322 - Embedded Microcontrollers Credits: 3</t>
  </si>
  <si>
    <t>ECE 452 - Digital Signal Processing Credits: 3</t>
  </si>
  <si>
    <t>Choose four from List B or List C</t>
  </si>
  <si>
    <t xml:space="preserve">     ME 355 - System Modeling and Numerical Methods Credits: 3</t>
  </si>
  <si>
    <t>Match the Biomech changes</t>
  </si>
  <si>
    <t xml:space="preserve">     ECE 360 - Signals and Systems Credits: 3</t>
  </si>
  <si>
    <r>
      <rPr/>
      <t xml:space="preserve">     See the </t>
    </r>
    <r>
      <rPr>
        <color rgb="FF1155CC"/>
        <u/>
      </rPr>
      <t>BE Technical Electives</t>
    </r>
    <r>
      <rPr/>
      <t>: 7 total required</t>
    </r>
  </si>
  <si>
    <t xml:space="preserve">      THEO 200 - The Christian Tradition Credits: 3</t>
  </si>
  <si>
    <t>CHEM 121 - General Chemistry I Credits: 4</t>
  </si>
  <si>
    <t>CHEM 122 - General Chemistry II Credits: 4</t>
  </si>
  <si>
    <t>CHEM 221 - Organic Chemistry I Credits: 4</t>
  </si>
  <si>
    <t>CHEM 222 - Organic Chemistry II Credits: 4</t>
  </si>
  <si>
    <t>Choose one from List A or List B</t>
  </si>
  <si>
    <t>Choose four from List A or List B</t>
  </si>
  <si>
    <t>Choose three from List A or List B</t>
  </si>
  <si>
    <r>
      <rPr/>
      <t xml:space="preserve">     See the </t>
    </r>
    <r>
      <rPr>
        <color rgb="FF1155CC"/>
        <u/>
      </rPr>
      <t>BE Technical Electives</t>
    </r>
    <r>
      <rPr/>
      <t>: 7 total required</t>
    </r>
  </si>
  <si>
    <t xml:space="preserve">     ME 270 - Thermodynamics Credits: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</si>
</sst>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EMpc6hGSXmGnWSa8cqO9UMAL_QE3yXlg/edit?usp=sharing&amp;ouid=113831217262137629009&amp;rtpof=true&amp;sd=true" TargetMode="External"/><Relationship Id="rId2" Type="http://schemas.openxmlformats.org/officeDocument/2006/relationships/hyperlink" Target="https://catalog.valpo.edu/preview_program.php?catoid=11&amp;poid=1831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bzCLnQ7_PI12iRV5Ds0Kfb5Al62xajs_/edit?usp=sharing&amp;ouid=113831217262137629009&amp;rtpof=true&amp;sd=true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bzCLnQ7_PI12iRV5Ds0Kfb5Al62xajs_/edit?usp=sharing&amp;ouid=113831217262137629009&amp;rtpof=true&amp;sd=true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bzCLnQ7_PI12iRV5Ds0Kfb5Al62xajs_/edit?usp=sharing&amp;ouid=113831217262137629009&amp;rtpof=true&amp;sd=true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49.13"/>
    <col customWidth="1" min="3" max="3" width="3.13"/>
    <col customWidth="1" min="4" max="4" width="6.25"/>
    <col customWidth="1" min="5" max="5" width="48.38"/>
  </cols>
  <sheetData>
    <row r="1">
      <c r="A1" s="1" t="s">
        <v>0</v>
      </c>
      <c r="D1" s="1" t="s">
        <v>1</v>
      </c>
    </row>
    <row r="2">
      <c r="A2" s="2">
        <v>4.0</v>
      </c>
      <c r="B2" s="2" t="s">
        <v>2</v>
      </c>
      <c r="D2" s="2">
        <v>4.0</v>
      </c>
      <c r="E2" s="2" t="s">
        <v>3</v>
      </c>
    </row>
    <row r="3">
      <c r="A3" s="2">
        <v>2.0</v>
      </c>
      <c r="B3" s="2" t="s">
        <v>4</v>
      </c>
      <c r="D3" s="2">
        <v>3.0</v>
      </c>
      <c r="E3" s="2" t="s">
        <v>5</v>
      </c>
    </row>
    <row r="4">
      <c r="A4" s="2">
        <v>0.0</v>
      </c>
      <c r="B4" s="2" t="s">
        <v>6</v>
      </c>
      <c r="D4" s="2">
        <v>4.0</v>
      </c>
      <c r="E4" s="2" t="s">
        <v>7</v>
      </c>
    </row>
    <row r="5">
      <c r="A5" s="2">
        <v>1.0</v>
      </c>
      <c r="B5" s="2" t="s">
        <v>8</v>
      </c>
      <c r="D5" s="2">
        <v>1.0</v>
      </c>
      <c r="E5" s="2" t="s">
        <v>9</v>
      </c>
    </row>
    <row r="6">
      <c r="A6" s="2">
        <v>4.0</v>
      </c>
      <c r="B6" s="2" t="s">
        <v>10</v>
      </c>
      <c r="D6" s="2">
        <v>1.0</v>
      </c>
      <c r="E6" s="2" t="s">
        <v>11</v>
      </c>
    </row>
    <row r="7">
      <c r="A7" s="2">
        <v>3.0</v>
      </c>
      <c r="B7" s="2" t="s">
        <v>12</v>
      </c>
      <c r="D7" s="2">
        <v>3.0</v>
      </c>
      <c r="E7" s="2" t="s">
        <v>13</v>
      </c>
    </row>
    <row r="8">
      <c r="A8" s="2">
        <v>1.0</v>
      </c>
      <c r="B8" s="2" t="s">
        <v>14</v>
      </c>
    </row>
    <row r="9">
      <c r="A9" s="3">
        <f>sum(A2:A8)</f>
        <v>15</v>
      </c>
      <c r="B9" s="4" t="s">
        <v>15</v>
      </c>
      <c r="D9" s="3">
        <f>sum(D2:D8)</f>
        <v>16</v>
      </c>
      <c r="E9" s="4" t="s">
        <v>15</v>
      </c>
    </row>
    <row r="11">
      <c r="A11" s="1" t="s">
        <v>16</v>
      </c>
      <c r="D11" s="1" t="s">
        <v>17</v>
      </c>
    </row>
    <row r="12">
      <c r="A12" s="2">
        <v>4.0</v>
      </c>
      <c r="B12" s="2" t="s">
        <v>18</v>
      </c>
      <c r="D12" s="2">
        <v>1.0</v>
      </c>
      <c r="E12" s="2" t="s">
        <v>19</v>
      </c>
    </row>
    <row r="13">
      <c r="A13" s="2">
        <v>2.5</v>
      </c>
      <c r="B13" s="2" t="s">
        <v>20</v>
      </c>
      <c r="D13" s="2">
        <v>3.0</v>
      </c>
      <c r="E13" s="2" t="s">
        <v>21</v>
      </c>
    </row>
    <row r="14">
      <c r="A14" s="2">
        <v>4.0</v>
      </c>
      <c r="B14" s="2" t="s">
        <v>22</v>
      </c>
      <c r="D14" s="2">
        <v>3.0</v>
      </c>
      <c r="E14" s="2" t="s">
        <v>23</v>
      </c>
    </row>
    <row r="15">
      <c r="A15" s="2">
        <v>1.0</v>
      </c>
      <c r="B15" s="2" t="s">
        <v>24</v>
      </c>
      <c r="D15" s="2">
        <v>2.5</v>
      </c>
      <c r="E15" s="2" t="s">
        <v>25</v>
      </c>
    </row>
    <row r="16">
      <c r="A16" s="2">
        <v>3.0</v>
      </c>
      <c r="B16" s="2" t="s">
        <v>26</v>
      </c>
      <c r="D16" s="2">
        <v>0.5</v>
      </c>
      <c r="E16" s="2" t="s">
        <v>27</v>
      </c>
    </row>
    <row r="17">
      <c r="A17" s="2">
        <v>1.0</v>
      </c>
      <c r="B17" s="2" t="s">
        <v>28</v>
      </c>
      <c r="D17" s="2">
        <v>3.0</v>
      </c>
      <c r="E17" s="2" t="s">
        <v>29</v>
      </c>
    </row>
    <row r="18">
      <c r="D18" s="2">
        <v>3.0</v>
      </c>
      <c r="E18" s="2" t="s">
        <v>30</v>
      </c>
    </row>
    <row r="19">
      <c r="A19" s="3">
        <f>sum(A12:A18)</f>
        <v>15.5</v>
      </c>
      <c r="B19" s="4" t="s">
        <v>15</v>
      </c>
      <c r="D19" s="3">
        <f>sum(D12:D18)</f>
        <v>16</v>
      </c>
      <c r="E19" s="4" t="s">
        <v>15</v>
      </c>
    </row>
    <row r="21">
      <c r="A21" s="1" t="s">
        <v>31</v>
      </c>
      <c r="D21" s="1" t="s">
        <v>32</v>
      </c>
    </row>
    <row r="22">
      <c r="A22" s="2">
        <v>2.0</v>
      </c>
      <c r="B22" s="2" t="s">
        <v>33</v>
      </c>
      <c r="D22" s="2">
        <v>1.5</v>
      </c>
      <c r="E22" s="2" t="s">
        <v>34</v>
      </c>
    </row>
    <row r="23">
      <c r="A23" s="2">
        <v>4.0</v>
      </c>
      <c r="B23" s="2" t="s">
        <v>35</v>
      </c>
      <c r="D23" s="2">
        <v>1.5</v>
      </c>
      <c r="E23" s="2" t="s">
        <v>36</v>
      </c>
    </row>
    <row r="24">
      <c r="A24" s="2">
        <v>0.0</v>
      </c>
      <c r="B24" s="2" t="s">
        <v>37</v>
      </c>
      <c r="D24" s="2">
        <v>3.0</v>
      </c>
      <c r="E24" s="2" t="s">
        <v>38</v>
      </c>
    </row>
    <row r="25">
      <c r="A25" s="2">
        <v>0.5</v>
      </c>
      <c r="B25" s="2" t="s">
        <v>39</v>
      </c>
      <c r="D25" s="2">
        <v>2.0</v>
      </c>
      <c r="E25" s="2" t="s">
        <v>40</v>
      </c>
    </row>
    <row r="26">
      <c r="A26" s="2">
        <v>3.0</v>
      </c>
      <c r="B26" s="2" t="s">
        <v>41</v>
      </c>
      <c r="D26" s="2">
        <v>3.0</v>
      </c>
      <c r="E26" s="2" t="s">
        <v>42</v>
      </c>
    </row>
    <row r="27">
      <c r="A27" s="2">
        <v>3.0</v>
      </c>
      <c r="B27" s="2" t="s">
        <v>43</v>
      </c>
      <c r="D27" s="2">
        <v>1.0</v>
      </c>
      <c r="E27" s="2" t="s">
        <v>44</v>
      </c>
    </row>
    <row r="28">
      <c r="A28" s="2">
        <v>3.0</v>
      </c>
      <c r="B28" s="2" t="s">
        <v>45</v>
      </c>
      <c r="D28" s="2">
        <v>3.0</v>
      </c>
      <c r="E28" s="2" t="s">
        <v>46</v>
      </c>
    </row>
    <row r="29">
      <c r="A29" s="3">
        <f>sum(A22:A28)</f>
        <v>15.5</v>
      </c>
      <c r="B29" s="4" t="s">
        <v>15</v>
      </c>
      <c r="D29" s="3">
        <f>sum(D22:D28)</f>
        <v>15</v>
      </c>
      <c r="E29" s="4" t="s">
        <v>15</v>
      </c>
    </row>
    <row r="31">
      <c r="A31" s="1" t="s">
        <v>47</v>
      </c>
      <c r="D31" s="1" t="s">
        <v>48</v>
      </c>
    </row>
    <row r="32">
      <c r="A32" s="2">
        <v>3.0</v>
      </c>
      <c r="B32" s="2" t="s">
        <v>49</v>
      </c>
      <c r="D32" s="2">
        <v>3.0</v>
      </c>
      <c r="E32" s="2" t="s">
        <v>50</v>
      </c>
    </row>
    <row r="33">
      <c r="A33" s="2">
        <v>3.0</v>
      </c>
      <c r="B33" s="2" t="s">
        <v>51</v>
      </c>
      <c r="D33" s="2">
        <v>12.0</v>
      </c>
      <c r="E33" s="2" t="s">
        <v>52</v>
      </c>
    </row>
    <row r="34">
      <c r="A34" s="2">
        <v>3.0</v>
      </c>
      <c r="B34" s="2" t="s">
        <v>53</v>
      </c>
    </row>
    <row r="35">
      <c r="A35" s="2">
        <v>9.0</v>
      </c>
      <c r="B35" s="2" t="s">
        <v>54</v>
      </c>
    </row>
    <row r="36">
      <c r="A36" s="3">
        <f>sum(A32:A35)</f>
        <v>18</v>
      </c>
      <c r="B36" s="4" t="s">
        <v>15</v>
      </c>
      <c r="D36" s="3">
        <f>sum(D32:D35)</f>
        <v>15</v>
      </c>
      <c r="E36" s="4" t="s">
        <v>15</v>
      </c>
    </row>
    <row r="38">
      <c r="D38" s="5">
        <f>sum(D36,A36,D29,A29,D19,A19,D9,A9)</f>
        <v>126</v>
      </c>
      <c r="E38" s="1" t="s">
        <v>55</v>
      </c>
    </row>
    <row r="40">
      <c r="B40" s="4" t="s">
        <v>56</v>
      </c>
    </row>
    <row r="41">
      <c r="B41" s="2" t="s">
        <v>57</v>
      </c>
    </row>
    <row r="42">
      <c r="B42" s="2" t="s">
        <v>58</v>
      </c>
    </row>
    <row r="44">
      <c r="B44" s="4" t="s">
        <v>59</v>
      </c>
    </row>
    <row r="45">
      <c r="B45" s="6" t="s">
        <v>60</v>
      </c>
    </row>
    <row r="47">
      <c r="B47" s="4" t="s">
        <v>61</v>
      </c>
    </row>
    <row r="48">
      <c r="B48" s="2" t="s">
        <v>62</v>
      </c>
    </row>
    <row r="49">
      <c r="B49" s="2" t="s">
        <v>63</v>
      </c>
    </row>
    <row r="50">
      <c r="B50" s="6" t="s">
        <v>64</v>
      </c>
    </row>
    <row r="51">
      <c r="B51" s="2" t="s">
        <v>65</v>
      </c>
    </row>
  </sheetData>
  <hyperlinks>
    <hyperlink r:id="rId1" ref="B45"/>
    <hyperlink r:id="rId2" ref="B5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49.13"/>
    <col customWidth="1" min="3" max="3" width="3.13"/>
    <col customWidth="1" min="4" max="4" width="6.25"/>
    <col customWidth="1" min="5" max="5" width="48.38"/>
  </cols>
  <sheetData>
    <row r="1">
      <c r="A1" s="1" t="s">
        <v>0</v>
      </c>
      <c r="D1" s="1" t="s">
        <v>1</v>
      </c>
    </row>
    <row r="2">
      <c r="A2" s="2">
        <v>4.0</v>
      </c>
      <c r="B2" s="2" t="s">
        <v>2</v>
      </c>
      <c r="D2" s="2">
        <v>4.0</v>
      </c>
      <c r="E2" s="2" t="s">
        <v>3</v>
      </c>
    </row>
    <row r="3">
      <c r="A3" s="2">
        <v>2.0</v>
      </c>
      <c r="B3" s="2" t="s">
        <v>4</v>
      </c>
      <c r="D3" s="2">
        <v>3.0</v>
      </c>
      <c r="E3" s="2" t="s">
        <v>5</v>
      </c>
    </row>
    <row r="4">
      <c r="A4" s="2">
        <v>0.0</v>
      </c>
      <c r="B4" s="2" t="s">
        <v>6</v>
      </c>
      <c r="D4" s="2">
        <v>4.0</v>
      </c>
      <c r="E4" s="2" t="s">
        <v>7</v>
      </c>
    </row>
    <row r="5">
      <c r="A5" s="2">
        <v>1.0</v>
      </c>
      <c r="B5" s="2" t="s">
        <v>8</v>
      </c>
      <c r="D5" s="2">
        <v>1.0</v>
      </c>
      <c r="E5" s="2" t="s">
        <v>9</v>
      </c>
    </row>
    <row r="6">
      <c r="A6" s="2">
        <v>4.0</v>
      </c>
      <c r="B6" s="2" t="s">
        <v>10</v>
      </c>
      <c r="D6" s="2">
        <v>1.0</v>
      </c>
      <c r="E6" s="2" t="s">
        <v>11</v>
      </c>
    </row>
    <row r="7">
      <c r="A7" s="2">
        <v>3.0</v>
      </c>
      <c r="B7" s="2" t="s">
        <v>12</v>
      </c>
      <c r="D7" s="2">
        <v>3.0</v>
      </c>
      <c r="E7" s="2" t="s">
        <v>13</v>
      </c>
    </row>
    <row r="8">
      <c r="A8" s="2">
        <v>1.0</v>
      </c>
      <c r="B8" s="2" t="s">
        <v>14</v>
      </c>
    </row>
    <row r="9">
      <c r="A9" s="3">
        <f>sum(A2:A8)</f>
        <v>15</v>
      </c>
      <c r="B9" s="4" t="s">
        <v>15</v>
      </c>
      <c r="D9" s="3">
        <f>sum(D2:D8)</f>
        <v>16</v>
      </c>
      <c r="E9" s="4" t="s">
        <v>15</v>
      </c>
    </row>
    <row r="11">
      <c r="A11" s="1" t="s">
        <v>16</v>
      </c>
      <c r="D11" s="1" t="s">
        <v>17</v>
      </c>
    </row>
    <row r="12">
      <c r="A12" s="2">
        <v>4.0</v>
      </c>
      <c r="B12" s="2" t="s">
        <v>18</v>
      </c>
      <c r="D12" s="2">
        <v>1.0</v>
      </c>
      <c r="E12" s="2" t="s">
        <v>19</v>
      </c>
    </row>
    <row r="13">
      <c r="A13" s="2">
        <v>2.5</v>
      </c>
      <c r="B13" s="2" t="s">
        <v>66</v>
      </c>
      <c r="D13" s="2">
        <v>3.0</v>
      </c>
      <c r="E13" s="2" t="s">
        <v>21</v>
      </c>
    </row>
    <row r="14">
      <c r="A14" s="2">
        <v>4.0</v>
      </c>
      <c r="B14" s="2" t="s">
        <v>22</v>
      </c>
      <c r="D14" s="2">
        <v>3.0</v>
      </c>
      <c r="E14" s="2" t="s">
        <v>23</v>
      </c>
    </row>
    <row r="15">
      <c r="A15" s="2">
        <v>3.0</v>
      </c>
      <c r="B15" s="2" t="s">
        <v>26</v>
      </c>
      <c r="D15" s="2">
        <v>0.5</v>
      </c>
      <c r="E15" s="2" t="s">
        <v>27</v>
      </c>
    </row>
    <row r="16">
      <c r="A16" s="2">
        <v>4.0</v>
      </c>
      <c r="B16" s="2" t="s">
        <v>67</v>
      </c>
      <c r="D16" s="2">
        <v>3.0</v>
      </c>
      <c r="E16" s="2" t="s">
        <v>30</v>
      </c>
    </row>
    <row r="17">
      <c r="D17" s="2">
        <v>4.0</v>
      </c>
      <c r="E17" s="2" t="s">
        <v>68</v>
      </c>
    </row>
    <row r="18">
      <c r="A18" s="3"/>
      <c r="B18" s="4"/>
      <c r="D18" s="7">
        <v>1.0</v>
      </c>
      <c r="E18" s="7" t="s">
        <v>24</v>
      </c>
    </row>
    <row r="19">
      <c r="A19" s="3">
        <f>sum(A12:A16)</f>
        <v>17.5</v>
      </c>
      <c r="B19" s="4" t="s">
        <v>15</v>
      </c>
      <c r="D19" s="3">
        <f>sum(D12:D18)</f>
        <v>15.5</v>
      </c>
      <c r="E19" s="4" t="s">
        <v>15</v>
      </c>
    </row>
    <row r="21">
      <c r="A21" s="1" t="s">
        <v>31</v>
      </c>
      <c r="D21" s="1" t="s">
        <v>32</v>
      </c>
    </row>
    <row r="22">
      <c r="A22" s="2">
        <v>2.0</v>
      </c>
      <c r="B22" s="2" t="s">
        <v>69</v>
      </c>
      <c r="D22" s="2">
        <v>1.0</v>
      </c>
      <c r="E22" s="2" t="s">
        <v>70</v>
      </c>
    </row>
    <row r="23">
      <c r="A23" s="2">
        <v>4.0</v>
      </c>
      <c r="B23" s="2" t="s">
        <v>35</v>
      </c>
      <c r="D23" s="2">
        <v>3.0</v>
      </c>
      <c r="E23" s="2" t="s">
        <v>71</v>
      </c>
    </row>
    <row r="24">
      <c r="A24" s="2">
        <v>0.0</v>
      </c>
      <c r="B24" s="2" t="s">
        <v>37</v>
      </c>
      <c r="D24" s="2">
        <v>3.0</v>
      </c>
      <c r="E24" s="2" t="s">
        <v>72</v>
      </c>
    </row>
    <row r="25">
      <c r="A25" s="2">
        <v>3.0</v>
      </c>
      <c r="B25" s="2" t="s">
        <v>41</v>
      </c>
      <c r="D25" s="2">
        <v>2.5</v>
      </c>
      <c r="E25" s="2" t="s">
        <v>25</v>
      </c>
    </row>
    <row r="26">
      <c r="A26" s="2">
        <v>1.5</v>
      </c>
      <c r="B26" s="2" t="s">
        <v>34</v>
      </c>
      <c r="D26" s="2">
        <v>3.0</v>
      </c>
      <c r="E26" s="2" t="s">
        <v>73</v>
      </c>
    </row>
    <row r="27">
      <c r="A27" s="2">
        <v>1.5</v>
      </c>
      <c r="B27" s="2" t="s">
        <v>36</v>
      </c>
      <c r="D27" s="2">
        <v>3.0</v>
      </c>
      <c r="E27" s="2" t="s">
        <v>74</v>
      </c>
    </row>
    <row r="28">
      <c r="A28" s="2">
        <v>3.0</v>
      </c>
      <c r="B28" s="2" t="s">
        <v>74</v>
      </c>
    </row>
    <row r="29">
      <c r="A29" s="3">
        <f>sum(A22:A28)</f>
        <v>15</v>
      </c>
      <c r="B29" s="4" t="s">
        <v>15</v>
      </c>
      <c r="D29" s="3">
        <f>sum(D22:D28)</f>
        <v>15.5</v>
      </c>
      <c r="E29" s="4" t="s">
        <v>15</v>
      </c>
    </row>
    <row r="31">
      <c r="A31" s="1" t="s">
        <v>47</v>
      </c>
      <c r="D31" s="1" t="s">
        <v>48</v>
      </c>
    </row>
    <row r="32">
      <c r="A32" s="2">
        <v>3.0</v>
      </c>
      <c r="B32" s="2" t="s">
        <v>49</v>
      </c>
      <c r="D32" s="2">
        <v>3.0</v>
      </c>
      <c r="E32" s="2" t="s">
        <v>50</v>
      </c>
    </row>
    <row r="33">
      <c r="A33" s="2">
        <v>3.0</v>
      </c>
      <c r="B33" s="2" t="s">
        <v>51</v>
      </c>
      <c r="D33" s="2">
        <v>3.0</v>
      </c>
      <c r="E33" s="2" t="s">
        <v>42</v>
      </c>
    </row>
    <row r="34">
      <c r="A34" s="2">
        <v>3.0</v>
      </c>
      <c r="B34" s="2" t="s">
        <v>75</v>
      </c>
      <c r="D34" s="2">
        <v>1.0</v>
      </c>
      <c r="E34" s="2" t="s">
        <v>76</v>
      </c>
    </row>
    <row r="35">
      <c r="A35" s="2">
        <v>0.5</v>
      </c>
      <c r="B35" s="2" t="s">
        <v>77</v>
      </c>
      <c r="D35" s="2">
        <v>9.0</v>
      </c>
      <c r="E35" s="2" t="s">
        <v>78</v>
      </c>
    </row>
    <row r="36">
      <c r="A36" s="2">
        <v>3.0</v>
      </c>
      <c r="B36" s="2" t="s">
        <v>79</v>
      </c>
    </row>
    <row r="37">
      <c r="A37" s="2">
        <v>3.0</v>
      </c>
      <c r="B37" s="2" t="s">
        <v>74</v>
      </c>
      <c r="D37" s="3"/>
      <c r="E37" s="4"/>
    </row>
    <row r="38">
      <c r="A38" s="3">
        <f>sum(A32:A37)</f>
        <v>15.5</v>
      </c>
      <c r="B38" s="4" t="s">
        <v>15</v>
      </c>
      <c r="D38" s="3">
        <f>sum(D32:D35)</f>
        <v>16</v>
      </c>
      <c r="E38" s="4" t="s">
        <v>15</v>
      </c>
    </row>
    <row r="40">
      <c r="D40" s="5">
        <f>sum(D38,A38,D29,A29,D19,A19,D9,A9)</f>
        <v>126</v>
      </c>
      <c r="E40" s="1" t="s">
        <v>55</v>
      </c>
    </row>
    <row r="42">
      <c r="B42" s="4" t="s">
        <v>56</v>
      </c>
    </row>
    <row r="43">
      <c r="B43" s="2" t="s">
        <v>80</v>
      </c>
    </row>
    <row r="46">
      <c r="B46" s="4" t="s">
        <v>59</v>
      </c>
    </row>
    <row r="47">
      <c r="B47" s="6" t="s">
        <v>81</v>
      </c>
    </row>
    <row r="49">
      <c r="B49" s="4" t="s">
        <v>61</v>
      </c>
    </row>
    <row r="50">
      <c r="B50" s="2" t="s">
        <v>62</v>
      </c>
    </row>
    <row r="51">
      <c r="B51" s="2" t="s">
        <v>63</v>
      </c>
    </row>
    <row r="52">
      <c r="B52" s="2" t="s">
        <v>82</v>
      </c>
    </row>
  </sheetData>
  <hyperlinks>
    <hyperlink r:id="rId1" ref="B4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49.13"/>
    <col customWidth="1" min="3" max="3" width="3.13"/>
    <col customWidth="1" min="4" max="4" width="6.25"/>
    <col customWidth="1" min="5" max="5" width="48.38"/>
  </cols>
  <sheetData>
    <row r="1">
      <c r="A1" s="1" t="s">
        <v>0</v>
      </c>
      <c r="D1" s="1" t="s">
        <v>1</v>
      </c>
    </row>
    <row r="2">
      <c r="A2" s="2">
        <v>4.0</v>
      </c>
      <c r="B2" s="2" t="s">
        <v>2</v>
      </c>
      <c r="D2" s="2">
        <v>4.0</v>
      </c>
      <c r="E2" s="2" t="s">
        <v>3</v>
      </c>
    </row>
    <row r="3">
      <c r="A3" s="2">
        <v>2.0</v>
      </c>
      <c r="B3" s="2" t="s">
        <v>4</v>
      </c>
      <c r="D3" s="2">
        <v>3.0</v>
      </c>
      <c r="E3" s="2" t="s">
        <v>5</v>
      </c>
    </row>
    <row r="4">
      <c r="A4" s="2">
        <v>0.0</v>
      </c>
      <c r="B4" s="2" t="s">
        <v>6</v>
      </c>
      <c r="D4" s="2">
        <v>4.0</v>
      </c>
      <c r="E4" s="2" t="s">
        <v>7</v>
      </c>
    </row>
    <row r="5">
      <c r="A5" s="2">
        <v>1.0</v>
      </c>
      <c r="B5" s="2" t="s">
        <v>8</v>
      </c>
      <c r="D5" s="2">
        <v>1.0</v>
      </c>
      <c r="E5" s="2" t="s">
        <v>9</v>
      </c>
    </row>
    <row r="6">
      <c r="A6" s="2">
        <v>4.0</v>
      </c>
      <c r="B6" s="2" t="s">
        <v>10</v>
      </c>
      <c r="D6" s="2">
        <v>1.0</v>
      </c>
      <c r="E6" s="2" t="s">
        <v>11</v>
      </c>
    </row>
    <row r="7">
      <c r="A7" s="2">
        <v>3.0</v>
      </c>
      <c r="B7" s="2" t="s">
        <v>12</v>
      </c>
      <c r="D7" s="2">
        <v>3.0</v>
      </c>
      <c r="E7" s="2" t="s">
        <v>13</v>
      </c>
    </row>
    <row r="8">
      <c r="A8" s="2">
        <v>1.0</v>
      </c>
      <c r="B8" s="2" t="s">
        <v>14</v>
      </c>
    </row>
    <row r="9">
      <c r="A9" s="3">
        <f>sum(A2:A8)</f>
        <v>15</v>
      </c>
      <c r="B9" s="4" t="s">
        <v>15</v>
      </c>
      <c r="D9" s="3">
        <f>sum(D2:D8)</f>
        <v>16</v>
      </c>
      <c r="E9" s="4" t="s">
        <v>15</v>
      </c>
    </row>
    <row r="11">
      <c r="A11" s="1" t="s">
        <v>16</v>
      </c>
      <c r="D11" s="1" t="s">
        <v>17</v>
      </c>
    </row>
    <row r="12">
      <c r="A12" s="2">
        <v>4.0</v>
      </c>
      <c r="B12" s="2" t="s">
        <v>18</v>
      </c>
      <c r="D12" s="2">
        <v>1.0</v>
      </c>
      <c r="E12" s="2" t="s">
        <v>19</v>
      </c>
    </row>
    <row r="13">
      <c r="A13" s="2">
        <v>2.5</v>
      </c>
      <c r="B13" s="2" t="s">
        <v>66</v>
      </c>
      <c r="D13" s="2">
        <v>3.0</v>
      </c>
      <c r="E13" s="2" t="s">
        <v>21</v>
      </c>
    </row>
    <row r="14">
      <c r="A14" s="2">
        <v>4.0</v>
      </c>
      <c r="B14" s="2" t="s">
        <v>22</v>
      </c>
      <c r="D14" s="2">
        <v>3.0</v>
      </c>
      <c r="E14" s="2" t="s">
        <v>83</v>
      </c>
    </row>
    <row r="15">
      <c r="A15" s="2">
        <v>3.0</v>
      </c>
      <c r="B15" s="2" t="s">
        <v>26</v>
      </c>
      <c r="D15" s="2">
        <v>0.5</v>
      </c>
      <c r="E15" s="2" t="s">
        <v>27</v>
      </c>
    </row>
    <row r="16">
      <c r="A16" s="2">
        <v>4.0</v>
      </c>
      <c r="B16" s="2" t="s">
        <v>67</v>
      </c>
      <c r="D16" s="2">
        <v>3.0</v>
      </c>
      <c r="E16" s="2" t="s">
        <v>30</v>
      </c>
    </row>
    <row r="17">
      <c r="D17" s="2">
        <v>4.0</v>
      </c>
      <c r="E17" s="2" t="s">
        <v>68</v>
      </c>
    </row>
    <row r="18">
      <c r="A18" s="3"/>
      <c r="B18" s="4"/>
      <c r="D18" s="7">
        <v>1.0</v>
      </c>
      <c r="E18" s="7" t="s">
        <v>24</v>
      </c>
    </row>
    <row r="19">
      <c r="A19" s="3">
        <f>sum(A12:A16)</f>
        <v>17.5</v>
      </c>
      <c r="B19" s="4" t="s">
        <v>15</v>
      </c>
      <c r="D19" s="3">
        <f>sum(D12:D18)</f>
        <v>15.5</v>
      </c>
      <c r="E19" s="4" t="s">
        <v>15</v>
      </c>
    </row>
    <row r="21">
      <c r="A21" s="1" t="s">
        <v>31</v>
      </c>
      <c r="D21" s="1" t="s">
        <v>32</v>
      </c>
    </row>
    <row r="22">
      <c r="A22" s="2">
        <v>2.0</v>
      </c>
      <c r="B22" s="2" t="s">
        <v>69</v>
      </c>
      <c r="D22" s="2">
        <v>1.0</v>
      </c>
      <c r="E22" s="2" t="s">
        <v>70</v>
      </c>
    </row>
    <row r="23">
      <c r="A23" s="2">
        <v>4.0</v>
      </c>
      <c r="B23" s="2" t="s">
        <v>35</v>
      </c>
      <c r="D23" s="2">
        <v>3.0</v>
      </c>
      <c r="E23" s="2" t="s">
        <v>71</v>
      </c>
    </row>
    <row r="24">
      <c r="A24" s="2">
        <v>0.0</v>
      </c>
      <c r="B24" s="2" t="s">
        <v>37</v>
      </c>
      <c r="D24" s="2">
        <v>3.0</v>
      </c>
      <c r="E24" s="2" t="s">
        <v>72</v>
      </c>
    </row>
    <row r="25">
      <c r="A25" s="2">
        <v>3.0</v>
      </c>
      <c r="B25" s="2" t="s">
        <v>84</v>
      </c>
      <c r="D25" s="2">
        <v>2.5</v>
      </c>
      <c r="E25" s="2" t="s">
        <v>25</v>
      </c>
    </row>
    <row r="26">
      <c r="A26" s="2">
        <v>3.0</v>
      </c>
      <c r="B26" s="2" t="s">
        <v>85</v>
      </c>
      <c r="D26" s="2">
        <v>1.5</v>
      </c>
      <c r="E26" s="2" t="s">
        <v>34</v>
      </c>
    </row>
    <row r="27">
      <c r="A27" s="2">
        <v>3.0</v>
      </c>
      <c r="B27" s="2" t="s">
        <v>86</v>
      </c>
      <c r="D27" s="2">
        <v>1.5</v>
      </c>
      <c r="E27" s="2" t="s">
        <v>36</v>
      </c>
    </row>
    <row r="28">
      <c r="D28" s="2">
        <v>3.0</v>
      </c>
      <c r="E28" s="2" t="s">
        <v>74</v>
      </c>
    </row>
    <row r="29">
      <c r="A29" s="3">
        <f>sum(A22:A28)</f>
        <v>15</v>
      </c>
      <c r="B29" s="4" t="s">
        <v>15</v>
      </c>
      <c r="D29" s="3">
        <f>sum(D22:D28)</f>
        <v>15.5</v>
      </c>
      <c r="E29" s="4" t="s">
        <v>15</v>
      </c>
    </row>
    <row r="31">
      <c r="A31" s="1" t="s">
        <v>47</v>
      </c>
      <c r="D31" s="1" t="s">
        <v>48</v>
      </c>
    </row>
    <row r="32">
      <c r="A32" s="2">
        <v>3.0</v>
      </c>
      <c r="B32" s="2" t="s">
        <v>49</v>
      </c>
      <c r="D32" s="2">
        <v>3.0</v>
      </c>
      <c r="E32" s="2" t="s">
        <v>50</v>
      </c>
    </row>
    <row r="33">
      <c r="A33" s="2">
        <v>3.0</v>
      </c>
      <c r="B33" s="2" t="s">
        <v>87</v>
      </c>
      <c r="D33" s="2">
        <v>3.0</v>
      </c>
      <c r="E33" s="2" t="s">
        <v>88</v>
      </c>
    </row>
    <row r="34">
      <c r="A34" s="2">
        <v>3.0</v>
      </c>
      <c r="B34" s="2" t="s">
        <v>75</v>
      </c>
      <c r="D34" s="2">
        <v>10.0</v>
      </c>
      <c r="E34" s="2" t="s">
        <v>89</v>
      </c>
    </row>
    <row r="35">
      <c r="A35" s="2">
        <v>0.5</v>
      </c>
      <c r="B35" s="2" t="s">
        <v>77</v>
      </c>
    </row>
    <row r="36">
      <c r="A36" s="2">
        <v>3.0</v>
      </c>
      <c r="B36" s="2" t="s">
        <v>86</v>
      </c>
    </row>
    <row r="37">
      <c r="A37" s="2">
        <v>3.0</v>
      </c>
      <c r="B37" s="2" t="s">
        <v>74</v>
      </c>
      <c r="D37" s="3"/>
      <c r="E37" s="4"/>
    </row>
    <row r="38">
      <c r="A38" s="3">
        <f>sum(A32:A37)</f>
        <v>15.5</v>
      </c>
      <c r="B38" s="4" t="s">
        <v>15</v>
      </c>
      <c r="D38" s="3">
        <f>sum(D32:D35)</f>
        <v>16</v>
      </c>
      <c r="E38" s="4" t="s">
        <v>15</v>
      </c>
    </row>
    <row r="40">
      <c r="D40" s="5">
        <f>sum(D38,A38,D29,A29,D19,A19,D9,A9)</f>
        <v>126</v>
      </c>
      <c r="E40" s="1" t="s">
        <v>55</v>
      </c>
    </row>
    <row r="42">
      <c r="B42" s="4" t="s">
        <v>56</v>
      </c>
    </row>
    <row r="43">
      <c r="B43" s="2" t="s">
        <v>90</v>
      </c>
      <c r="D43" s="8" t="s">
        <v>91</v>
      </c>
    </row>
    <row r="44">
      <c r="B44" s="2" t="s">
        <v>92</v>
      </c>
    </row>
    <row r="46">
      <c r="B46" s="4" t="s">
        <v>59</v>
      </c>
    </row>
    <row r="47">
      <c r="B47" s="6" t="s">
        <v>93</v>
      </c>
    </row>
    <row r="49">
      <c r="B49" s="4" t="s">
        <v>61</v>
      </c>
    </row>
    <row r="50">
      <c r="B50" s="2" t="s">
        <v>62</v>
      </c>
    </row>
    <row r="51">
      <c r="B51" s="2" t="s">
        <v>63</v>
      </c>
    </row>
    <row r="52">
      <c r="B52" s="2" t="s">
        <v>94</v>
      </c>
    </row>
  </sheetData>
  <hyperlinks>
    <hyperlink r:id="rId1" ref="B47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49.13"/>
    <col customWidth="1" min="3" max="3" width="3.13"/>
    <col customWidth="1" min="4" max="4" width="6.25"/>
    <col customWidth="1" min="5" max="5" width="48.38"/>
  </cols>
  <sheetData>
    <row r="1">
      <c r="A1" s="1" t="s">
        <v>0</v>
      </c>
      <c r="D1" s="1" t="s">
        <v>1</v>
      </c>
    </row>
    <row r="2">
      <c r="A2" s="2">
        <v>4.0</v>
      </c>
      <c r="B2" s="2" t="s">
        <v>2</v>
      </c>
      <c r="D2" s="2">
        <v>4.0</v>
      </c>
      <c r="E2" s="2" t="s">
        <v>3</v>
      </c>
    </row>
    <row r="3">
      <c r="A3" s="2">
        <v>2.0</v>
      </c>
      <c r="B3" s="2" t="s">
        <v>4</v>
      </c>
      <c r="D3" s="2">
        <v>3.0</v>
      </c>
      <c r="E3" s="2" t="s">
        <v>5</v>
      </c>
    </row>
    <row r="4">
      <c r="A4" s="2">
        <v>0.0</v>
      </c>
      <c r="B4" s="2" t="s">
        <v>6</v>
      </c>
      <c r="D4" s="2">
        <v>4.0</v>
      </c>
      <c r="E4" s="2" t="s">
        <v>7</v>
      </c>
    </row>
    <row r="5">
      <c r="A5" s="2">
        <v>1.0</v>
      </c>
      <c r="B5" s="2" t="s">
        <v>8</v>
      </c>
      <c r="D5" s="2">
        <v>1.0</v>
      </c>
      <c r="E5" s="2" t="s">
        <v>9</v>
      </c>
    </row>
    <row r="6">
      <c r="A6" s="2">
        <v>4.0</v>
      </c>
      <c r="B6" s="2" t="s">
        <v>10</v>
      </c>
      <c r="D6" s="2">
        <v>1.0</v>
      </c>
      <c r="E6" s="2" t="s">
        <v>11</v>
      </c>
    </row>
    <row r="7">
      <c r="A7" s="2">
        <v>3.0</v>
      </c>
      <c r="B7" s="2" t="s">
        <v>12</v>
      </c>
      <c r="D7" s="2">
        <v>3.0</v>
      </c>
      <c r="E7" s="2" t="s">
        <v>13</v>
      </c>
    </row>
    <row r="8">
      <c r="A8" s="2">
        <v>1.0</v>
      </c>
      <c r="B8" s="2" t="s">
        <v>14</v>
      </c>
    </row>
    <row r="9">
      <c r="A9" s="3">
        <f>sum(A2:A8)</f>
        <v>15</v>
      </c>
      <c r="B9" s="4" t="s">
        <v>15</v>
      </c>
      <c r="D9" s="3">
        <f>sum(D2:D8)</f>
        <v>16</v>
      </c>
      <c r="E9" s="4" t="s">
        <v>15</v>
      </c>
    </row>
    <row r="11">
      <c r="A11" s="1" t="s">
        <v>16</v>
      </c>
      <c r="D11" s="1" t="s">
        <v>17</v>
      </c>
    </row>
    <row r="12">
      <c r="A12" s="2">
        <v>4.0</v>
      </c>
      <c r="B12" s="2" t="s">
        <v>95</v>
      </c>
      <c r="D12" s="2">
        <v>1.0</v>
      </c>
      <c r="E12" s="2" t="s">
        <v>19</v>
      </c>
    </row>
    <row r="13">
      <c r="A13" s="2">
        <v>2.5</v>
      </c>
      <c r="B13" s="2" t="s">
        <v>66</v>
      </c>
      <c r="D13" s="2">
        <v>3.0</v>
      </c>
      <c r="E13" s="2" t="s">
        <v>21</v>
      </c>
    </row>
    <row r="14">
      <c r="A14" s="2">
        <v>4.0</v>
      </c>
      <c r="B14" s="2" t="s">
        <v>22</v>
      </c>
      <c r="D14" s="2">
        <v>4.0</v>
      </c>
      <c r="E14" s="2" t="s">
        <v>96</v>
      </c>
    </row>
    <row r="15">
      <c r="A15" s="2">
        <v>3.0</v>
      </c>
      <c r="B15" s="2" t="s">
        <v>26</v>
      </c>
      <c r="D15" s="2">
        <v>0.5</v>
      </c>
      <c r="E15" s="2" t="s">
        <v>27</v>
      </c>
    </row>
    <row r="16">
      <c r="A16" s="2">
        <v>4.0</v>
      </c>
      <c r="B16" s="2" t="s">
        <v>67</v>
      </c>
      <c r="D16" s="2">
        <v>3.0</v>
      </c>
      <c r="E16" s="2" t="s">
        <v>30</v>
      </c>
    </row>
    <row r="17">
      <c r="D17" s="2">
        <v>4.0</v>
      </c>
      <c r="E17" s="2" t="s">
        <v>68</v>
      </c>
    </row>
    <row r="18">
      <c r="A18" s="3"/>
      <c r="B18" s="4"/>
      <c r="D18" s="7">
        <v>1.0</v>
      </c>
      <c r="E18" s="7" t="s">
        <v>24</v>
      </c>
    </row>
    <row r="19">
      <c r="A19" s="3">
        <f>sum(A12:A16)</f>
        <v>17.5</v>
      </c>
      <c r="B19" s="4" t="s">
        <v>15</v>
      </c>
      <c r="D19" s="3">
        <f>sum(D12:D18)</f>
        <v>16.5</v>
      </c>
      <c r="E19" s="4" t="s">
        <v>15</v>
      </c>
    </row>
    <row r="21">
      <c r="A21" s="1" t="s">
        <v>31</v>
      </c>
      <c r="D21" s="1" t="s">
        <v>32</v>
      </c>
    </row>
    <row r="22">
      <c r="A22" s="2">
        <v>2.0</v>
      </c>
      <c r="B22" s="2" t="s">
        <v>69</v>
      </c>
      <c r="D22" s="2">
        <v>1.0</v>
      </c>
      <c r="E22" s="2" t="s">
        <v>70</v>
      </c>
    </row>
    <row r="23">
      <c r="A23" s="2">
        <v>4.0</v>
      </c>
      <c r="B23" s="2" t="s">
        <v>35</v>
      </c>
      <c r="D23" s="2">
        <v>3.0</v>
      </c>
      <c r="E23" s="2" t="s">
        <v>71</v>
      </c>
    </row>
    <row r="24">
      <c r="A24" s="2">
        <v>0.0</v>
      </c>
      <c r="B24" s="2" t="s">
        <v>37</v>
      </c>
      <c r="D24" s="2">
        <v>3.0</v>
      </c>
      <c r="E24" s="2" t="s">
        <v>72</v>
      </c>
    </row>
    <row r="25">
      <c r="A25" s="2">
        <v>4.0</v>
      </c>
      <c r="B25" s="2" t="s">
        <v>97</v>
      </c>
      <c r="D25" s="2">
        <v>2.5</v>
      </c>
      <c r="E25" s="2" t="s">
        <v>25</v>
      </c>
    </row>
    <row r="26">
      <c r="A26" s="2">
        <v>1.5</v>
      </c>
      <c r="B26" s="2" t="s">
        <v>34</v>
      </c>
      <c r="D26" s="2">
        <v>4.0</v>
      </c>
      <c r="E26" s="2" t="s">
        <v>98</v>
      </c>
    </row>
    <row r="27">
      <c r="A27" s="2">
        <v>1.5</v>
      </c>
      <c r="B27" s="2" t="s">
        <v>36</v>
      </c>
      <c r="D27" s="2">
        <v>3.0</v>
      </c>
      <c r="E27" s="2" t="s">
        <v>99</v>
      </c>
    </row>
    <row r="28">
      <c r="A28" s="2">
        <v>3.0</v>
      </c>
      <c r="B28" s="2" t="s">
        <v>41</v>
      </c>
    </row>
    <row r="29">
      <c r="A29" s="3">
        <f>sum(A22:A28)</f>
        <v>16</v>
      </c>
      <c r="B29" s="4" t="s">
        <v>15</v>
      </c>
      <c r="D29" s="3">
        <f>sum(D22:D28)</f>
        <v>16.5</v>
      </c>
      <c r="E29" s="4" t="s">
        <v>15</v>
      </c>
    </row>
    <row r="31">
      <c r="A31" s="1" t="s">
        <v>47</v>
      </c>
      <c r="D31" s="1" t="s">
        <v>48</v>
      </c>
    </row>
    <row r="32">
      <c r="A32" s="2">
        <v>3.0</v>
      </c>
      <c r="B32" s="2" t="s">
        <v>49</v>
      </c>
      <c r="D32" s="2">
        <v>3.0</v>
      </c>
      <c r="E32" s="2" t="s">
        <v>50</v>
      </c>
    </row>
    <row r="33">
      <c r="A33" s="2">
        <v>3.0</v>
      </c>
      <c r="B33" s="2" t="s">
        <v>75</v>
      </c>
      <c r="D33" s="2">
        <v>10.0</v>
      </c>
      <c r="E33" s="2" t="s">
        <v>100</v>
      </c>
    </row>
    <row r="34">
      <c r="A34" s="2">
        <v>0.5</v>
      </c>
      <c r="B34" s="2" t="s">
        <v>77</v>
      </c>
    </row>
    <row r="35">
      <c r="A35" s="2">
        <v>9.0</v>
      </c>
      <c r="B35" s="2" t="s">
        <v>101</v>
      </c>
    </row>
    <row r="36">
      <c r="A36" s="3">
        <f>sum(A32:A35)</f>
        <v>15.5</v>
      </c>
      <c r="B36" s="4" t="s">
        <v>15</v>
      </c>
      <c r="D36" s="3">
        <f>sum(D32:D35)</f>
        <v>13</v>
      </c>
      <c r="E36" s="4" t="s">
        <v>15</v>
      </c>
    </row>
    <row r="38">
      <c r="D38" s="5">
        <f>sum(D36,A36,D29,A29,D19,A19,D9,A9)</f>
        <v>126</v>
      </c>
      <c r="E38" s="1" t="s">
        <v>55</v>
      </c>
    </row>
    <row r="40">
      <c r="B40" s="4" t="s">
        <v>56</v>
      </c>
    </row>
    <row r="41">
      <c r="B41" s="6" t="s">
        <v>102</v>
      </c>
    </row>
    <row r="42">
      <c r="B42" s="2" t="s">
        <v>103</v>
      </c>
    </row>
    <row r="44">
      <c r="B44" s="4" t="s">
        <v>59</v>
      </c>
    </row>
    <row r="45">
      <c r="B45" s="2" t="s">
        <v>62</v>
      </c>
    </row>
    <row r="46">
      <c r="B46" s="2" t="s">
        <v>63</v>
      </c>
    </row>
    <row r="47">
      <c r="B47" s="2" t="s">
        <v>94</v>
      </c>
    </row>
  </sheetData>
  <hyperlinks>
    <hyperlink r:id="rId1" ref="B41"/>
  </hyperlinks>
  <drawing r:id="rId2"/>
</worksheet>
</file>